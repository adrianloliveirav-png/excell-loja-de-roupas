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C GAMER\Documents\excell\"/>
    </mc:Choice>
  </mc:AlternateContent>
  <xr:revisionPtr revIDLastSave="0" documentId="13_ncr:1_{5CC48BB4-F15A-4C73-987B-8361E5F1D6A6}" xr6:coauthVersionLast="47" xr6:coauthVersionMax="47" xr10:uidLastSave="{00000000-0000-0000-0000-000000000000}"/>
  <bookViews>
    <workbookView xWindow="-120" yWindow="-120" windowWidth="29040" windowHeight="15720" firstSheet="1" activeTab="1" xr2:uid="{58FCA958-A86B-46EE-BC5D-77FC260A8BEC}"/>
  </bookViews>
  <sheets>
    <sheet name="Planilha3" sheetId="3" state="hidden" r:id="rId1"/>
    <sheet name="Dashboard" sheetId="4" r:id="rId2"/>
    <sheet name="Planilha1" sheetId="1" state="hidden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3" l="1"/>
  <c r="F25" i="3"/>
  <c r="F27" i="3"/>
</calcChain>
</file>

<file path=xl/sharedStrings.xml><?xml version="1.0" encoding="utf-8"?>
<sst xmlns="http://schemas.openxmlformats.org/spreadsheetml/2006/main" count="19" uniqueCount="17">
  <si>
    <t>TIPOS DE ROUPAS</t>
  </si>
  <si>
    <t>Quantidade de Vendas (Masculino)</t>
  </si>
  <si>
    <t>Valor Arrecadado (Masculino)</t>
  </si>
  <si>
    <t>Quantidade de Vendas (Feminino)</t>
  </si>
  <si>
    <t>Valor Arrecadado (Feminino)</t>
  </si>
  <si>
    <t>Custos Gerais</t>
  </si>
  <si>
    <t>Camisetas</t>
  </si>
  <si>
    <t>Sapatos</t>
  </si>
  <si>
    <t>Calças</t>
  </si>
  <si>
    <t>Roupas íntimas</t>
  </si>
  <si>
    <t>Jaquetas</t>
  </si>
  <si>
    <t>Soma de Valor Arrecadado (Masculino)</t>
  </si>
  <si>
    <t>Soma de Valor Arrecadado (Feminino)</t>
  </si>
  <si>
    <t>Soma de Custos Gerais</t>
  </si>
  <si>
    <t>RELATÓRIO DE VENDAS</t>
  </si>
  <si>
    <t>DADOS ATUALIZADOS PELA ÚLTIMA VEZ EM: 12/12/2025</t>
  </si>
  <si>
    <t>ESTES DADOS SÃO REFERENTES AO ANO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</si>
</sst>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9" tint="0.79998168889431442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theme="6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3" fillId="2" borderId="0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164" fontId="4" fillId="3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64" fontId="4" fillId="2" borderId="0" xfId="0" applyNumberFormat="1" applyFont="1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3" fillId="4" borderId="0" xfId="0" applyFont="1" applyFill="1" applyProtection="1">
      <protection locked="0"/>
    </xf>
    <xf numFmtId="0" fontId="0" fillId="4" borderId="0" xfId="0" applyFill="1" applyProtection="1"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164" fontId="0" fillId="5" borderId="0" xfId="0" applyNumberFormat="1" applyFill="1" applyProtection="1">
      <protection locked="0"/>
    </xf>
    <xf numFmtId="0" fontId="0" fillId="5" borderId="0" xfId="0" applyFill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 vertical="center"/>
      <protection locked="0"/>
    </xf>
    <xf numFmtId="0" fontId="0" fillId="5" borderId="0" xfId="0" applyFill="1"/>
    <xf numFmtId="0" fontId="6" fillId="5" borderId="0" xfId="0" applyFont="1" applyFill="1" applyAlignment="1">
      <alignment horizontal="left" vertical="center" indent="1"/>
    </xf>
    <xf numFmtId="164" fontId="0" fillId="0" borderId="0" xfId="0" applyNumberFormat="1" applyFont="1"/>
    <xf numFmtId="164" fontId="7" fillId="5" borderId="0" xfId="0" applyNumberFormat="1" applyFont="1" applyFill="1"/>
    <xf numFmtId="0" fontId="0" fillId="5" borderId="0" xfId="0" applyFill="1" applyAlignment="1">
      <alignment horizontal="left" vertical="top"/>
    </xf>
  </cellXfs>
  <cellStyles count="1">
    <cellStyle name="Normal" xfId="0" builtinId="0"/>
  </cellStyles>
  <dxfs count="14">
    <dxf>
      <numFmt numFmtId="164" formatCode="&quot;R$&quot;\ #,##0.00"/>
      <fill>
        <patternFill patternType="solid">
          <fgColor indexed="64"/>
          <bgColor theme="3" tint="0.249977111117893"/>
        </patternFill>
      </fill>
      <protection locked="0" hidden="0"/>
    </dxf>
    <dxf>
      <numFmt numFmtId="164" formatCode="&quot;R$&quot;\ #,##0.00"/>
      <fill>
        <patternFill patternType="solid">
          <fgColor indexed="64"/>
          <bgColor theme="3" tint="0.249977111117893"/>
        </patternFill>
      </fill>
      <protection locked="0" hidden="0"/>
    </dxf>
    <dxf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  <protection locked="0" hidden="0"/>
    </dxf>
    <dxf>
      <numFmt numFmtId="164" formatCode="&quot;R$&quot;\ #,##0.00"/>
      <fill>
        <patternFill patternType="solid">
          <fgColor indexed="64"/>
          <bgColor theme="3" tint="0.249977111117893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9" tint="0.79998168889431442"/>
        <name val="Aptos Narrow"/>
        <family val="2"/>
        <scheme val="minor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C00000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>
          <bgColor rgb="FF00B050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rgb="FFFFC000"/>
        <name val="Aptos Narrow"/>
        <family val="2"/>
        <scheme val="minor"/>
      </font>
      <fill>
        <patternFill patternType="solid">
          <bgColor theme="1" tint="0.499984740745262"/>
        </patternFill>
      </fill>
      <protection locked="0" hidden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pronto.xlsx]Planilha3!Tabela dinâmica3</c:name>
    <c:fmtId val="4"/>
  </c:pivotSource>
  <c:chart>
    <c:autoTitleDeleted val="0"/>
    <c:pivotFmts>
      <c:pivotFmt>
        <c:idx val="0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8013083837802244E-2"/>
          <c:y val="0"/>
          <c:w val="0.88207500969314601"/>
          <c:h val="0.584838145231846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Planilha3!$A$3</c:f>
              <c:strCache>
                <c:ptCount val="1"/>
                <c:pt idx="0">
                  <c:v>Soma de Valor Arrecadado (Feminino)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6D2-482D-96A5-F4E11FCC55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Planilha3!$A$4</c:f>
              <c:numCache>
                <c:formatCode>"R$"\ #,##0.00</c:formatCode>
                <c:ptCount val="1"/>
                <c:pt idx="0">
                  <c:v>2540.06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2-482D-96A5-F4E11FCC5544}"/>
            </c:ext>
          </c:extLst>
        </c:ser>
        <c:ser>
          <c:idx val="1"/>
          <c:order val="1"/>
          <c:tx>
            <c:strRef>
              <c:f>Planilha3!$B$3</c:f>
              <c:strCache>
                <c:ptCount val="1"/>
                <c:pt idx="0">
                  <c:v>Soma de Valor Arrecadado (Masculino)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Planilha3!$A$4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Planilha3!$B$4</c:f>
              <c:numCache>
                <c:formatCode>"R$"\ #,##0.00</c:formatCode>
                <c:ptCount val="1"/>
                <c:pt idx="0">
                  <c:v>1977.65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2-482D-96A5-F4E11FCC554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7042175"/>
        <c:axId val="1217041215"/>
      </c:barChart>
      <c:catAx>
        <c:axId val="121704217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217041215"/>
        <c:crosses val="autoZero"/>
        <c:auto val="1"/>
        <c:lblAlgn val="ctr"/>
        <c:lblOffset val="100"/>
        <c:noMultiLvlLbl val="0"/>
      </c:catAx>
      <c:valAx>
        <c:axId val="1217041215"/>
        <c:scaling>
          <c:orientation val="minMax"/>
        </c:scaling>
        <c:delete val="1"/>
        <c:axPos val="b"/>
        <c:numFmt formatCode="&quot;R$&quot;\ #,##0.00" sourceLinked="1"/>
        <c:majorTickMark val="out"/>
        <c:minorTickMark val="none"/>
        <c:tickLblPos val="nextTo"/>
        <c:crossAx val="1217042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</xdr:row>
      <xdr:rowOff>104775</xdr:rowOff>
    </xdr:from>
    <xdr:to>
      <xdr:col>9</xdr:col>
      <xdr:colOff>352425</xdr:colOff>
      <xdr:row>14</xdr:row>
      <xdr:rowOff>66675</xdr:rowOff>
    </xdr:to>
    <xdr:sp macro="" textlink="">
      <xdr:nvSpPr>
        <xdr:cNvPr id="8" name="Retângulo: Cantos Superiores Arredondados 7">
          <a:extLst>
            <a:ext uri="{FF2B5EF4-FFF2-40B4-BE49-F238E27FC236}">
              <a16:creationId xmlns:a16="http://schemas.microsoft.com/office/drawing/2014/main" id="{0585A910-3684-1311-5825-93D781DC63C7}"/>
            </a:ext>
          </a:extLst>
        </xdr:cNvPr>
        <xdr:cNvSpPr/>
      </xdr:nvSpPr>
      <xdr:spPr>
        <a:xfrm>
          <a:off x="209550" y="942975"/>
          <a:ext cx="5133975" cy="2781300"/>
        </a:xfrm>
        <a:prstGeom prst="round2Same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581025</xdr:colOff>
      <xdr:row>1</xdr:row>
      <xdr:rowOff>371475</xdr:rowOff>
    </xdr:from>
    <xdr:to>
      <xdr:col>17</xdr:col>
      <xdr:colOff>9525</xdr:colOff>
      <xdr:row>14</xdr:row>
      <xdr:rowOff>104775</xdr:rowOff>
    </xdr:to>
    <xdr:sp macro="" textlink="Planilha3!F26">
      <xdr:nvSpPr>
        <xdr:cNvPr id="6" name="Retângulo 5">
          <a:extLst>
            <a:ext uri="{FF2B5EF4-FFF2-40B4-BE49-F238E27FC236}">
              <a16:creationId xmlns:a16="http://schemas.microsoft.com/office/drawing/2014/main" id="{08FC0B44-B5A4-8044-6ECA-F798C386852B}"/>
            </a:ext>
          </a:extLst>
        </xdr:cNvPr>
        <xdr:cNvSpPr/>
      </xdr:nvSpPr>
      <xdr:spPr>
        <a:xfrm>
          <a:off x="5572125" y="1209675"/>
          <a:ext cx="3876675" cy="2552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FD949A3-FCB9-48CB-8D5F-18DA3DAE5079}" type="TxLink">
            <a:rPr lang="en-US" sz="3600" b="1" i="0" u="none" strike="noStrike">
              <a:solidFill>
                <a:schemeClr val="accent6"/>
              </a:solidFill>
              <a:latin typeface="Aptos Narrow"/>
            </a:rPr>
            <a:pPr algn="ctr"/>
            <a:t>R$ 2.167,71</a:t>
          </a:fld>
          <a:endParaRPr lang="en-US" sz="3600" b="1" i="0" u="none" strike="noStrike">
            <a:solidFill>
              <a:schemeClr val="accent6"/>
            </a:solidFill>
            <a:latin typeface="Aptos Narrow"/>
          </a:endParaRPr>
        </a:p>
      </xdr:txBody>
    </xdr:sp>
    <xdr:clientData/>
  </xdr:twoCellAnchor>
  <xdr:twoCellAnchor>
    <xdr:from>
      <xdr:col>1</xdr:col>
      <xdr:colOff>133351</xdr:colOff>
      <xdr:row>2</xdr:row>
      <xdr:rowOff>66675</xdr:rowOff>
    </xdr:from>
    <xdr:to>
      <xdr:col>9</xdr:col>
      <xdr:colOff>114300</xdr:colOff>
      <xdr:row>14</xdr:row>
      <xdr:rowOff>76200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65412984-ECA7-56D3-F5B5-3908E67B8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85726</xdr:colOff>
      <xdr:row>1</xdr:row>
      <xdr:rowOff>104776</xdr:rowOff>
    </xdr:from>
    <xdr:to>
      <xdr:col>9</xdr:col>
      <xdr:colOff>352426</xdr:colOff>
      <xdr:row>4</xdr:row>
      <xdr:rowOff>1</xdr:rowOff>
    </xdr:to>
    <xdr:sp macro="" textlink="">
      <xdr:nvSpPr>
        <xdr:cNvPr id="9" name="Retângulo: Cantos Superiores Arredondados 8">
          <a:extLst>
            <a:ext uri="{FF2B5EF4-FFF2-40B4-BE49-F238E27FC236}">
              <a16:creationId xmlns:a16="http://schemas.microsoft.com/office/drawing/2014/main" id="{921B9FC0-9141-FCB1-DD0E-DE3313B2C71E}"/>
            </a:ext>
          </a:extLst>
        </xdr:cNvPr>
        <xdr:cNvSpPr/>
      </xdr:nvSpPr>
      <xdr:spPr>
        <a:xfrm>
          <a:off x="200026" y="942976"/>
          <a:ext cx="5143500" cy="742950"/>
        </a:xfrm>
        <a:prstGeom prst="round2Same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accent1">
                  <a:lumMod val="75000"/>
                </a:schemeClr>
              </a:solidFill>
            </a:rPr>
            <a:t>TOTAL ARRECADADO</a:t>
          </a:r>
          <a:r>
            <a:rPr lang="pt-BR" sz="1400" b="1" baseline="0">
              <a:solidFill>
                <a:schemeClr val="accent1">
                  <a:lumMod val="75000"/>
                </a:schemeClr>
              </a:solidFill>
            </a:rPr>
            <a:t> POR CADA TIPO DE SEXO DOS CLIENTES</a:t>
          </a:r>
          <a:endParaRPr lang="pt-BR" sz="14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9</xdr:col>
      <xdr:colOff>581025</xdr:colOff>
      <xdr:row>1</xdr:row>
      <xdr:rowOff>152400</xdr:rowOff>
    </xdr:from>
    <xdr:to>
      <xdr:col>17</xdr:col>
      <xdr:colOff>19050</xdr:colOff>
      <xdr:row>3</xdr:row>
      <xdr:rowOff>180975</xdr:rowOff>
    </xdr:to>
    <xdr:sp macro="" textlink="">
      <xdr:nvSpPr>
        <xdr:cNvPr id="10" name="Retângulo: Cantos Superiores Arredondados 9">
          <a:extLst>
            <a:ext uri="{FF2B5EF4-FFF2-40B4-BE49-F238E27FC236}">
              <a16:creationId xmlns:a16="http://schemas.microsoft.com/office/drawing/2014/main" id="{8DDC023C-BBA1-3FD1-60A9-70D137E7C882}"/>
            </a:ext>
          </a:extLst>
        </xdr:cNvPr>
        <xdr:cNvSpPr/>
      </xdr:nvSpPr>
      <xdr:spPr>
        <a:xfrm>
          <a:off x="5572125" y="990600"/>
          <a:ext cx="3886200" cy="685800"/>
        </a:xfrm>
        <a:prstGeom prst="round2Same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accent4">
                  <a:lumMod val="50000"/>
                </a:schemeClr>
              </a:solidFill>
            </a:rPr>
            <a:t>LUCRO</a:t>
          </a:r>
          <a:r>
            <a:rPr lang="pt-BR" sz="2800" baseline="0">
              <a:solidFill>
                <a:schemeClr val="accent4">
                  <a:lumMod val="50000"/>
                </a:schemeClr>
              </a:solidFill>
            </a:rPr>
            <a:t> </a:t>
          </a:r>
          <a:r>
            <a:rPr lang="pt-BR" sz="2800" b="1" baseline="0">
              <a:solidFill>
                <a:schemeClr val="accent4">
                  <a:lumMod val="50000"/>
                </a:schemeClr>
              </a:solidFill>
            </a:rPr>
            <a:t>TOTAL</a:t>
          </a:r>
          <a:endParaRPr lang="pt-BR" sz="28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104775</xdr:colOff>
      <xdr:row>15</xdr:row>
      <xdr:rowOff>66675</xdr:rowOff>
    </xdr:from>
    <xdr:to>
      <xdr:col>9</xdr:col>
      <xdr:colOff>371475</xdr:colOff>
      <xdr:row>26</xdr:row>
      <xdr:rowOff>171450</xdr:rowOff>
    </xdr:to>
    <xdr:sp macro="" textlink="Planilha3!F27">
      <xdr:nvSpPr>
        <xdr:cNvPr id="11" name="Retângulo: Cantos Superiores Arredondados 10">
          <a:extLst>
            <a:ext uri="{FF2B5EF4-FFF2-40B4-BE49-F238E27FC236}">
              <a16:creationId xmlns:a16="http://schemas.microsoft.com/office/drawing/2014/main" id="{FF931D0C-0EF4-E3A8-4B3B-E166208DCF18}"/>
            </a:ext>
          </a:extLst>
        </xdr:cNvPr>
        <xdr:cNvSpPr/>
      </xdr:nvSpPr>
      <xdr:spPr>
        <a:xfrm>
          <a:off x="219075" y="3914775"/>
          <a:ext cx="5143500" cy="2200275"/>
        </a:xfrm>
        <a:prstGeom prst="round2Same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7BC1A9B-D2D1-434E-BFD0-929CCAA533DE}" type="TxLink">
            <a:rPr lang="en-US" sz="3600" b="1" i="0" u="none" strike="noStrike">
              <a:solidFill>
                <a:schemeClr val="accent6"/>
              </a:solidFill>
              <a:latin typeface="Aptos Narrow"/>
            </a:rPr>
            <a:pPr algn="ctr"/>
            <a:t>R$ 4.517,71</a:t>
          </a:fld>
          <a:endParaRPr lang="pt-BR" sz="3600" b="1">
            <a:solidFill>
              <a:schemeClr val="accent6"/>
            </a:solidFill>
          </a:endParaRPr>
        </a:p>
      </xdr:txBody>
    </xdr:sp>
    <xdr:clientData/>
  </xdr:twoCellAnchor>
  <xdr:twoCellAnchor>
    <xdr:from>
      <xdr:col>1</xdr:col>
      <xdr:colOff>95250</xdr:colOff>
      <xdr:row>15</xdr:row>
      <xdr:rowOff>47625</xdr:rowOff>
    </xdr:from>
    <xdr:to>
      <xdr:col>9</xdr:col>
      <xdr:colOff>371475</xdr:colOff>
      <xdr:row>18</xdr:row>
      <xdr:rowOff>123825</xdr:rowOff>
    </xdr:to>
    <xdr:sp macro="" textlink="">
      <xdr:nvSpPr>
        <xdr:cNvPr id="12" name="Retângulo: Cantos Superiores Arredondados 11">
          <a:extLst>
            <a:ext uri="{FF2B5EF4-FFF2-40B4-BE49-F238E27FC236}">
              <a16:creationId xmlns:a16="http://schemas.microsoft.com/office/drawing/2014/main" id="{6A2FFAD1-08BB-F6C5-F4CB-2D29DD0BBDB1}"/>
            </a:ext>
          </a:extLst>
        </xdr:cNvPr>
        <xdr:cNvSpPr/>
      </xdr:nvSpPr>
      <xdr:spPr>
        <a:xfrm>
          <a:off x="209550" y="3895725"/>
          <a:ext cx="5153025" cy="647700"/>
        </a:xfrm>
        <a:prstGeom prst="round2Same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accent4">
                  <a:lumMod val="50000"/>
                </a:schemeClr>
              </a:solidFill>
            </a:rPr>
            <a:t>ARRECADAÇÃO</a:t>
          </a:r>
          <a:r>
            <a:rPr lang="pt-BR" sz="2400" b="1" baseline="0">
              <a:solidFill>
                <a:schemeClr val="accent4">
                  <a:lumMod val="50000"/>
                </a:schemeClr>
              </a:solidFill>
            </a:rPr>
            <a:t> TOTAL DE VENDAS</a:t>
          </a:r>
          <a:endParaRPr lang="pt-BR" sz="24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590550</xdr:colOff>
      <xdr:row>15</xdr:row>
      <xdr:rowOff>76200</xdr:rowOff>
    </xdr:from>
    <xdr:to>
      <xdr:col>17</xdr:col>
      <xdr:colOff>47625</xdr:colOff>
      <xdr:row>27</xdr:row>
      <xdr:rowOff>9525</xdr:rowOff>
    </xdr:to>
    <xdr:sp macro="" textlink="Planilha3!F25">
      <xdr:nvSpPr>
        <xdr:cNvPr id="13" name="Retângulo: Cantos Superiores Arredondados 12">
          <a:extLst>
            <a:ext uri="{FF2B5EF4-FFF2-40B4-BE49-F238E27FC236}">
              <a16:creationId xmlns:a16="http://schemas.microsoft.com/office/drawing/2014/main" id="{4DA6BD6A-1FBB-FAB8-EBAE-B552FF13F6D0}"/>
            </a:ext>
          </a:extLst>
        </xdr:cNvPr>
        <xdr:cNvSpPr/>
      </xdr:nvSpPr>
      <xdr:spPr>
        <a:xfrm>
          <a:off x="5581650" y="3924300"/>
          <a:ext cx="3905250" cy="2219325"/>
        </a:xfrm>
        <a:prstGeom prst="round2Same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8CCE38EB-D7DF-4FEC-95CA-D697491F0293}" type="TxLink">
            <a:rPr lang="en-US" sz="3600" b="1" i="0" u="none" strike="noStrike">
              <a:solidFill>
                <a:srgbClr val="FF0000"/>
              </a:solidFill>
              <a:latin typeface="Aptos Narrow"/>
            </a:rPr>
            <a:pPr algn="ctr"/>
            <a:t>-R$ 2.350,00</a:t>
          </a:fld>
          <a:endParaRPr lang="pt-BR" sz="36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590550</xdr:colOff>
      <xdr:row>15</xdr:row>
      <xdr:rowOff>85725</xdr:rowOff>
    </xdr:from>
    <xdr:to>
      <xdr:col>17</xdr:col>
      <xdr:colOff>47625</xdr:colOff>
      <xdr:row>18</xdr:row>
      <xdr:rowOff>57150</xdr:rowOff>
    </xdr:to>
    <xdr:sp macro="" textlink="">
      <xdr:nvSpPr>
        <xdr:cNvPr id="14" name="Retângulo: Cantos Superiores Arredondados 13">
          <a:extLst>
            <a:ext uri="{FF2B5EF4-FFF2-40B4-BE49-F238E27FC236}">
              <a16:creationId xmlns:a16="http://schemas.microsoft.com/office/drawing/2014/main" id="{0582D441-8E6C-873E-9AC6-A904F31EC451}"/>
            </a:ext>
          </a:extLst>
        </xdr:cNvPr>
        <xdr:cNvSpPr/>
      </xdr:nvSpPr>
      <xdr:spPr>
        <a:xfrm>
          <a:off x="5581650" y="3933825"/>
          <a:ext cx="3905250" cy="542925"/>
        </a:xfrm>
        <a:prstGeom prst="round2Same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solidFill>
                <a:schemeClr val="accent4">
                  <a:lumMod val="50000"/>
                </a:schemeClr>
              </a:solidFill>
            </a:rPr>
            <a:t>CUSTOS</a:t>
          </a:r>
          <a:r>
            <a:rPr lang="pt-BR" sz="2400" b="1" baseline="0">
              <a:solidFill>
                <a:schemeClr val="accent4">
                  <a:lumMod val="50000"/>
                </a:schemeClr>
              </a:solidFill>
            </a:rPr>
            <a:t> DE MANUTENÇÃO</a:t>
          </a:r>
          <a:endParaRPr lang="pt-BR" sz="2400" b="1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 GAMER" refreshedDate="46003.658466319444" createdVersion="8" refreshedVersion="8" minRefreshableVersion="3" recordCount="5" xr:uid="{D8A0DBF6-B8D0-49AA-945E-1B4CA49784BC}">
  <cacheSource type="worksheet">
    <worksheetSource name="Tabela1"/>
  </cacheSource>
  <cacheFields count="6">
    <cacheField name="TIPOS DE ROUPAS" numFmtId="0">
      <sharedItems count="5">
        <s v="Camisetas"/>
        <s v="Sapatos"/>
        <s v="Calças"/>
        <s v="Roupas íntimas"/>
        <s v="Jaquetas"/>
      </sharedItems>
    </cacheField>
    <cacheField name="Quantidade de Vendas (Masculino)" numFmtId="0">
      <sharedItems containsSemiMixedTypes="0" containsString="0" containsNumber="1" containsInteger="1" minValue="7" maxValue="26"/>
    </cacheField>
    <cacheField name="Valor Arrecadado (Masculino)" numFmtId="164">
      <sharedItems containsSemiMixedTypes="0" containsString="0" containsNumber="1" minValue="113.79" maxValue="680" count="5">
        <n v="400"/>
        <n v="680"/>
        <n v="327.86"/>
        <n v="113.79"/>
        <n v="456"/>
      </sharedItems>
    </cacheField>
    <cacheField name="Quantidade de Vendas (Feminino)" numFmtId="0">
      <sharedItems containsSemiMixedTypes="0" containsString="0" containsNumber="1" containsInteger="1" minValue="4" maxValue="43" count="5">
        <n v="12"/>
        <n v="43"/>
        <n v="22"/>
        <n v="17"/>
        <n v="4"/>
      </sharedItems>
    </cacheField>
    <cacheField name="Valor Arrecadado (Feminino)" numFmtId="164">
      <sharedItems containsSemiMixedTypes="0" containsString="0" containsNumber="1" minValue="98.43" maxValue="1328.96" count="5">
        <n v="280"/>
        <n v="1328.96"/>
        <n v="520"/>
        <n v="98.43"/>
        <n v="312.67"/>
      </sharedItems>
    </cacheField>
    <cacheField name="Custos Gerais" numFmtId="164">
      <sharedItems containsSemiMixedTypes="0" containsString="0" containsNumber="1" containsInteger="1" minValue="-1100" maxValue="-150" count="5">
        <n v="-320"/>
        <n v="-1100"/>
        <n v="-380"/>
        <n v="-150"/>
        <n v="-4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8"/>
    <x v="0"/>
    <x v="0"/>
    <x v="0"/>
    <x v="0"/>
  </r>
  <r>
    <x v="1"/>
    <n v="26"/>
    <x v="1"/>
    <x v="1"/>
    <x v="1"/>
    <x v="1"/>
  </r>
  <r>
    <x v="2"/>
    <n v="15"/>
    <x v="2"/>
    <x v="2"/>
    <x v="2"/>
    <x v="2"/>
  </r>
  <r>
    <x v="3"/>
    <n v="23"/>
    <x v="3"/>
    <x v="3"/>
    <x v="3"/>
    <x v="3"/>
  </r>
  <r>
    <x v="4"/>
    <n v="7"/>
    <x v="4"/>
    <x v="4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D25B1-E4F0-441A-BF0A-84D0E5234736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C26" firstHeaderRow="0" firstDataRow="1" firstDataCol="0"/>
  <pivotFields count="6">
    <pivotField showAll="0"/>
    <pivotField showAll="0"/>
    <pivotField dataField="1" numFmtId="164" showAll="0"/>
    <pivotField showAll="0"/>
    <pivotField dataField="1" numFmtId="164" showAll="0"/>
    <pivotField dataField="1" numFmtId="164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a de Custos Gerais" fld="5" baseField="0" baseItem="0" numFmtId="4"/>
    <dataField name="Soma de Valor Arrecadado (Feminino)" fld="4" baseField="0" baseItem="0" numFmtId="4"/>
    <dataField name="Soma de Valor Arrecadado (Masculino)" fld="2" baseField="0" baseItem="0" numFmtId="4"/>
  </dataFields>
  <formats count="3">
    <format dxfId="10">
      <pivotArea type="all" dataOnly="0" outline="0" fieldPosition="0"/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845FCF-0C17-431D-86FD-5488350DE038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4" firstHeaderRow="0" firstDataRow="1" firstDataCol="0"/>
  <pivotFields count="6">
    <pivotField showAll="0">
      <items count="6">
        <item x="2"/>
        <item x="0"/>
        <item x="4"/>
        <item x="3"/>
        <item x="1"/>
        <item t="default"/>
      </items>
    </pivotField>
    <pivotField showAll="0"/>
    <pivotField dataField="1" numFmtId="164" showAll="0">
      <items count="6">
        <item sd="0" x="3"/>
        <item sd="0" x="2"/>
        <item sd="0" x="0"/>
        <item sd="0" x="4"/>
        <item sd="0" x="1"/>
        <item t="default"/>
      </items>
    </pivotField>
    <pivotField showAll="0">
      <items count="6">
        <item x="4"/>
        <item x="0"/>
        <item x="3"/>
        <item x="2"/>
        <item x="1"/>
        <item t="default"/>
      </items>
    </pivotField>
    <pivotField dataField="1" numFmtId="164" showAll="0">
      <items count="6">
        <item x="3"/>
        <item x="0"/>
        <item x="4"/>
        <item x="2"/>
        <item x="1"/>
        <item t="default"/>
      </items>
    </pivotField>
    <pivotField numFmtId="164" showAll="0">
      <items count="6">
        <item x="1"/>
        <item x="4"/>
        <item x="2"/>
        <item x="0"/>
        <item x="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Valor Arrecadado (Feminino)" fld="4" baseField="0" baseItem="0" numFmtId="4"/>
    <dataField name="Soma de Valor Arrecadado (Masculino)" fld="2" baseField="0" baseItem="0" numFmtId="4"/>
  </dataFields>
  <formats count="3">
    <format dxfId="13">
      <pivotArea type="all" dataOnly="0" outline="0" fieldPosition="0"/>
    </format>
    <format dxfId="12">
      <pivotArea outline="0" collapsedLevelsAreSubtotals="1" fieldPosition="0"/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E45ED-EDCB-419F-9CAB-D815E48DD2DF}" name="Tabela1" displayName="Tabela1" ref="A1:F6" totalsRowShown="0" headerRowDxfId="7" dataDxfId="6">
  <autoFilter ref="A1:F6" xr:uid="{26AE45ED-EDCB-419F-9CAB-D815E48DD2DF}"/>
  <tableColumns count="6">
    <tableColumn id="1" xr3:uid="{9E9505AD-9B8C-4322-99C3-7D962DBB81E6}" name="TIPOS DE ROUPAS" dataDxfId="5"/>
    <tableColumn id="2" xr3:uid="{48DB461B-CA4B-4E95-A20F-71B841B33114}" name="Quantidade de Vendas (Masculino)" dataDxfId="4"/>
    <tableColumn id="3" xr3:uid="{8224C675-BBA6-41DD-A720-8A89A194FDC2}" name="Valor Arrecadado (Masculino)" dataDxfId="3"/>
    <tableColumn id="4" xr3:uid="{EB54ECCB-7C2C-46A7-B1CE-ABAC9BCEF27E}" name="Quantidade de Vendas (Feminino)" dataDxfId="2"/>
    <tableColumn id="5" xr3:uid="{5A1EC084-41D8-432F-8FCB-E78E3EBF4EE8}" name="Valor Arrecadado (Feminino)" dataDxfId="1"/>
    <tableColumn id="6" xr3:uid="{83851347-DABC-4086-9FEA-58C7E8252C9A}" name="Custos Gerais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BD6C-5390-46E7-A5B7-4DF80E2BE469}">
  <dimension ref="A3:F27"/>
  <sheetViews>
    <sheetView workbookViewId="0">
      <selection activeCell="D29" sqref="D29"/>
    </sheetView>
  </sheetViews>
  <sheetFormatPr defaultRowHeight="15" x14ac:dyDescent="0.25"/>
  <cols>
    <col min="1" max="1" width="35.42578125" style="2" bestFit="1" customWidth="1"/>
    <col min="2" max="3" width="36.140625" style="2" bestFit="1" customWidth="1"/>
    <col min="4" max="5" width="9.28515625" style="2" bestFit="1" customWidth="1"/>
    <col min="6" max="6" width="11.42578125" style="2" bestFit="1" customWidth="1"/>
    <col min="7" max="7" width="10.7109375" bestFit="1" customWidth="1"/>
    <col min="8" max="8" width="11.140625" bestFit="1" customWidth="1"/>
    <col min="9" max="9" width="14.28515625" bestFit="1" customWidth="1"/>
    <col min="10" max="10" width="12.7109375" bestFit="1" customWidth="1"/>
    <col min="11" max="11" width="15.85546875" bestFit="1" customWidth="1"/>
    <col min="12" max="12" width="10.7109375" bestFit="1" customWidth="1"/>
  </cols>
  <sheetData>
    <row r="3" spans="1:2" x14ac:dyDescent="0.25">
      <c r="A3" s="2" t="s">
        <v>12</v>
      </c>
      <c r="B3" s="2" t="s">
        <v>11</v>
      </c>
    </row>
    <row r="4" spans="1:2" x14ac:dyDescent="0.25">
      <c r="A4" s="2">
        <v>2540.06</v>
      </c>
      <c r="B4" s="2">
        <v>1977.65</v>
      </c>
    </row>
    <row r="25" spans="1:6" x14ac:dyDescent="0.25">
      <c r="A25" s="2" t="s">
        <v>13</v>
      </c>
      <c r="B25" s="2" t="s">
        <v>12</v>
      </c>
      <c r="C25" s="2" t="s">
        <v>11</v>
      </c>
      <c r="F25" s="2">
        <f>A26</f>
        <v>-2350</v>
      </c>
    </row>
    <row r="26" spans="1:6" x14ac:dyDescent="0.25">
      <c r="A26" s="2">
        <v>-2350</v>
      </c>
      <c r="B26" s="2">
        <v>2540.06</v>
      </c>
      <c r="C26" s="2">
        <v>1977.65</v>
      </c>
      <c r="D26" s="17"/>
      <c r="F26" s="2">
        <f>SUM(A26:C26)</f>
        <v>2167.71</v>
      </c>
    </row>
    <row r="27" spans="1:6" x14ac:dyDescent="0.25">
      <c r="F27" s="2">
        <f>SUM(B26:C26)</f>
        <v>4517.71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DA91B-4202-4A83-A559-54ECC03BF2AD}">
  <dimension ref="A1:Q29"/>
  <sheetViews>
    <sheetView showGridLines="0" tabSelected="1" topLeftCell="A2" workbookViewId="0">
      <selection activeCell="H30" sqref="H30"/>
    </sheetView>
  </sheetViews>
  <sheetFormatPr defaultRowHeight="15" x14ac:dyDescent="0.25"/>
  <cols>
    <col min="1" max="1" width="1.7109375" customWidth="1"/>
    <col min="12" max="12" width="6.5703125" style="2" customWidth="1"/>
    <col min="13" max="13" width="5.28515625" customWidth="1"/>
  </cols>
  <sheetData>
    <row r="1" spans="1:17" ht="66" customHeight="1" x14ac:dyDescent="0.25">
      <c r="A1" s="15"/>
      <c r="B1" s="16" t="s">
        <v>14</v>
      </c>
      <c r="C1" s="15"/>
      <c r="D1" s="15"/>
      <c r="E1" s="15"/>
      <c r="F1" s="15"/>
      <c r="G1" s="15"/>
      <c r="H1" s="15"/>
      <c r="I1" s="15"/>
      <c r="J1" s="15"/>
      <c r="K1" s="15"/>
      <c r="L1" s="18" t="s">
        <v>15</v>
      </c>
      <c r="M1" s="19"/>
      <c r="N1" s="15"/>
      <c r="O1" s="15"/>
      <c r="P1" s="19"/>
      <c r="Q1" s="15"/>
    </row>
    <row r="2" spans="1:17" ht="36.75" customHeight="1" x14ac:dyDescent="0.25">
      <c r="A2" s="15"/>
      <c r="L2"/>
    </row>
    <row r="3" spans="1:17" x14ac:dyDescent="0.25">
      <c r="A3" s="15"/>
      <c r="L3"/>
    </row>
    <row r="4" spans="1:17" x14ac:dyDescent="0.25">
      <c r="A4" s="15"/>
      <c r="L4"/>
    </row>
    <row r="5" spans="1:17" ht="20.25" customHeight="1" x14ac:dyDescent="0.25">
      <c r="A5" s="15"/>
      <c r="L5"/>
    </row>
    <row r="6" spans="1:17" x14ac:dyDescent="0.25">
      <c r="A6" s="15"/>
      <c r="L6"/>
    </row>
    <row r="7" spans="1:17" x14ac:dyDescent="0.25">
      <c r="A7" s="15"/>
      <c r="L7"/>
    </row>
    <row r="8" spans="1:17" x14ac:dyDescent="0.25">
      <c r="A8" s="15"/>
      <c r="L8"/>
    </row>
    <row r="9" spans="1:17" x14ac:dyDescent="0.25">
      <c r="A9" s="15"/>
      <c r="L9"/>
    </row>
    <row r="10" spans="1:17" x14ac:dyDescent="0.25">
      <c r="A10" s="15"/>
      <c r="L10"/>
    </row>
    <row r="11" spans="1:17" x14ac:dyDescent="0.25">
      <c r="A11" s="15"/>
      <c r="L11"/>
    </row>
    <row r="12" spans="1:17" x14ac:dyDescent="0.25">
      <c r="A12" s="15"/>
    </row>
    <row r="13" spans="1:17" x14ac:dyDescent="0.25">
      <c r="A13" s="15"/>
    </row>
    <row r="14" spans="1:17" x14ac:dyDescent="0.25">
      <c r="A14" s="15"/>
    </row>
    <row r="15" spans="1:17" x14ac:dyDescent="0.25">
      <c r="A15" s="15"/>
    </row>
    <row r="16" spans="1:17" x14ac:dyDescent="0.25">
      <c r="A16" s="15"/>
    </row>
    <row r="17" spans="1:2" x14ac:dyDescent="0.25">
      <c r="A17" s="15"/>
    </row>
    <row r="18" spans="1:2" x14ac:dyDescent="0.25">
      <c r="A18" s="15"/>
    </row>
    <row r="19" spans="1:2" x14ac:dyDescent="0.25">
      <c r="A19" s="15"/>
    </row>
    <row r="20" spans="1:2" x14ac:dyDescent="0.25">
      <c r="A20" s="15"/>
    </row>
    <row r="21" spans="1:2" x14ac:dyDescent="0.25">
      <c r="A21" s="15"/>
    </row>
    <row r="22" spans="1:2" x14ac:dyDescent="0.25">
      <c r="A22" s="15"/>
    </row>
    <row r="23" spans="1:2" x14ac:dyDescent="0.25">
      <c r="A23" s="15"/>
    </row>
    <row r="24" spans="1:2" x14ac:dyDescent="0.25">
      <c r="A24" s="15"/>
    </row>
    <row r="25" spans="1:2" x14ac:dyDescent="0.25">
      <c r="A25" s="15"/>
    </row>
    <row r="26" spans="1:2" x14ac:dyDescent="0.25">
      <c r="A26" s="15"/>
    </row>
    <row r="27" spans="1:2" x14ac:dyDescent="0.25">
      <c r="A27" s="15"/>
    </row>
    <row r="28" spans="1:2" x14ac:dyDescent="0.25">
      <c r="A28" s="15"/>
      <c r="B28" t="s">
        <v>16</v>
      </c>
    </row>
    <row r="29" spans="1:2" x14ac:dyDescent="0.25">
      <c r="A29" s="15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1B37-9D86-4DA3-9630-51737A97FCCC}">
  <dimension ref="A1:F11"/>
  <sheetViews>
    <sheetView workbookViewId="0">
      <selection activeCell="A2" sqref="A2"/>
    </sheetView>
  </sheetViews>
  <sheetFormatPr defaultRowHeight="15" x14ac:dyDescent="0.25"/>
  <cols>
    <col min="1" max="1" width="28.28515625" customWidth="1"/>
    <col min="2" max="2" width="34.28515625" style="2" customWidth="1"/>
    <col min="3" max="3" width="29.28515625" style="1" customWidth="1"/>
    <col min="4" max="4" width="33.5703125" style="2" customWidth="1"/>
    <col min="5" max="5" width="28.5703125" customWidth="1"/>
    <col min="6" max="6" width="15.85546875" customWidth="1"/>
  </cols>
  <sheetData>
    <row r="1" spans="1:6" s="9" customFormat="1" ht="49.5" customHeight="1" x14ac:dyDescent="0.25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7" t="s">
        <v>5</v>
      </c>
    </row>
    <row r="2" spans="1:6" s="10" customFormat="1" ht="27.75" customHeight="1" x14ac:dyDescent="0.25">
      <c r="A2" s="8" t="s">
        <v>6</v>
      </c>
      <c r="B2" s="11">
        <v>18</v>
      </c>
      <c r="C2" s="12">
        <v>400</v>
      </c>
      <c r="D2" s="13">
        <v>12</v>
      </c>
      <c r="E2" s="12">
        <v>280</v>
      </c>
      <c r="F2" s="12">
        <v>-320</v>
      </c>
    </row>
    <row r="3" spans="1:6" s="10" customFormat="1" ht="34.5" customHeight="1" x14ac:dyDescent="0.25">
      <c r="A3" s="8" t="s">
        <v>7</v>
      </c>
      <c r="B3" s="11">
        <v>26</v>
      </c>
      <c r="C3" s="12">
        <v>680</v>
      </c>
      <c r="D3" s="13">
        <v>43</v>
      </c>
      <c r="E3" s="12">
        <v>1328.96</v>
      </c>
      <c r="F3" s="12">
        <v>-1100</v>
      </c>
    </row>
    <row r="4" spans="1:6" s="10" customFormat="1" ht="33" customHeight="1" x14ac:dyDescent="0.25">
      <c r="A4" s="8" t="s">
        <v>8</v>
      </c>
      <c r="B4" s="11">
        <v>15</v>
      </c>
      <c r="C4" s="12">
        <v>327.86</v>
      </c>
      <c r="D4" s="13">
        <v>22</v>
      </c>
      <c r="E4" s="12">
        <v>520</v>
      </c>
      <c r="F4" s="12">
        <v>-380</v>
      </c>
    </row>
    <row r="5" spans="1:6" s="10" customFormat="1" ht="37.5" customHeight="1" x14ac:dyDescent="0.25">
      <c r="A5" s="8" t="s">
        <v>9</v>
      </c>
      <c r="B5" s="14">
        <v>23</v>
      </c>
      <c r="C5" s="12">
        <v>113.79</v>
      </c>
      <c r="D5" s="13">
        <v>17</v>
      </c>
      <c r="E5" s="12">
        <v>98.43</v>
      </c>
      <c r="F5" s="12">
        <v>-150</v>
      </c>
    </row>
    <row r="6" spans="1:6" s="10" customFormat="1" ht="33" customHeight="1" x14ac:dyDescent="0.25">
      <c r="A6" s="8" t="s">
        <v>10</v>
      </c>
      <c r="B6" s="11">
        <v>7</v>
      </c>
      <c r="C6" s="12">
        <v>456</v>
      </c>
      <c r="D6" s="13">
        <v>4</v>
      </c>
      <c r="E6" s="12">
        <v>312.67</v>
      </c>
      <c r="F6" s="12">
        <v>-400</v>
      </c>
    </row>
    <row r="11" spans="1:6" x14ac:dyDescent="0.25">
      <c r="B11" s="1"/>
      <c r="C11" s="2"/>
      <c r="D11"/>
    </row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D4FE65-3C8D-4A0F-AD0C-0EB858F8F9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Planilha3</vt:lpstr>
      <vt:lpstr>Dashboard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Lincon</dc:creator>
  <cp:keywords/>
  <dc:description/>
  <cp:lastModifiedBy>Adrian Lincon</cp:lastModifiedBy>
  <cp:revision/>
  <dcterms:created xsi:type="dcterms:W3CDTF">2025-12-12T17:40:17Z</dcterms:created>
  <dcterms:modified xsi:type="dcterms:W3CDTF">2025-12-12T20:37:09Z</dcterms:modified>
  <cp:category/>
  <cp:contentStatus/>
</cp:coreProperties>
</file>